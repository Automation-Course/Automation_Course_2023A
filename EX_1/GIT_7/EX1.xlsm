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ofris\Downloads\"/>
    </mc:Choice>
  </mc:AlternateContent>
  <xr:revisionPtr revIDLastSave="0" documentId="13_ncr:1_{E78E8427-CB79-4A54-B536-900584ADFCBD}" xr6:coauthVersionLast="47" xr6:coauthVersionMax="47" xr10:uidLastSave="{00000000-0000-0000-0000-000000000000}"/>
  <bookViews>
    <workbookView xWindow="-110" yWindow="-110" windowWidth="19420" windowHeight="10300" xr2:uid="{0F4B7737-47A8-4A6C-A38A-554A13650DB8}"/>
  </bookViews>
  <sheets>
    <sheet name="גיליון1" sheetId="1" r:id="rId1"/>
  </sheets>
  <definedNames>
    <definedName name="_xlnm.Print_Area" localSheetId="0">גיליון1!$A$1:$E$4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1" l="1" a="1"/>
  <c r="D17" i="1" s="1"/>
  <c r="E17" i="1" s="1"/>
  <c r="D16" i="1" a="1"/>
  <c r="D16" i="1" s="1"/>
  <c r="E16" i="1" s="1"/>
  <c r="D15" i="1" a="1"/>
  <c r="D15" i="1" s="1"/>
  <c r="E15" i="1" s="1"/>
  <c r="D14" i="1" a="1"/>
  <c r="D14" i="1" s="1"/>
  <c r="E14" i="1" s="1"/>
  <c r="D13" i="1" a="1"/>
  <c r="D13" i="1" s="1"/>
  <c r="E13" i="1" s="1"/>
  <c r="D12" i="1" a="1"/>
  <c r="D12" i="1" s="1"/>
  <c r="E12" i="1" s="1"/>
  <c r="D11" i="1" a="1"/>
  <c r="D11" i="1" s="1"/>
  <c r="E11" i="1" s="1"/>
  <c r="D10" i="1" a="1"/>
  <c r="D10" i="1" s="1"/>
  <c r="E10" i="1" s="1"/>
  <c r="G10" i="1" a="1"/>
  <c r="G10" i="1" l="1"/>
  <c r="H10" i="1" s="1"/>
  <c r="F10" i="1"/>
  <c r="C3" i="1" a="1"/>
  <c r="I10" i="1" l="1"/>
  <c r="C3" i="1"/>
  <c r="D3" i="1" s="1"/>
  <c r="C2" i="1" l="1"/>
  <c r="D2" i="1" s="1"/>
  <c r="E3" i="1"/>
  <c r="E4" i="1" s="1" a="1"/>
  <c r="E4" i="1" s="1"/>
  <c r="E2" i="1" a="1"/>
  <c r="E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<sst xmlns="http://schemas.openxmlformats.org/spreadsheetml/2006/main" count="8" uniqueCount="8">
  <si>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Output</t>
  </si>
  <si>
    <t>Inserted Input</t>
  </si>
  <si>
    <t>final input To Cal</t>
  </si>
  <si>
    <t>Bin to Dec</t>
  </si>
  <si>
    <t>Dec to Bin</t>
  </si>
  <si>
    <t>Check</t>
  </si>
  <si>
    <t>12</t>
  </si>
  <si>
    <t>1100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</si>
</sst>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77"/>
      <scheme val="minor"/>
    </font>
    <font>
      <sz val="11"/>
      <name val="Calibri"/>
      <family val="2"/>
      <charset val="177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DE4BE-8EAB-4B07-9B7E-8927506AAD5F}">
  <sheetPr codeName="גיליון1"/>
  <dimension ref="A1:I19"/>
  <sheetViews>
    <sheetView tabSelected="1" zoomScale="130" zoomScaleNormal="130" zoomScaleSheetLayoutView="145" workbookViewId="0">
      <selection activeCell="A7" sqref="A7"/>
    </sheetView>
  </sheetViews>
  <sheetFormatPr defaultRowHeight="14.5" x14ac:dyDescent="0.35"/>
  <cols>
    <col min="1" max="1" width="9.26953125" bestFit="1" customWidth="1"/>
    <col min="2" max="2" width="11.7265625" bestFit="1" customWidth="1"/>
    <col min="4" max="4" width="14.453125" bestFit="1" customWidth="1"/>
    <col min="5" max="5" width="56.453125" customWidth="1"/>
  </cols>
  <sheetData>
    <row r="1" spans="1:9" x14ac:dyDescent="0.35">
      <c r="A1" s="1"/>
      <c r="B1" s="2" t="s">
        <v>1</v>
      </c>
      <c r="C1" s="2" t="s">
        <v>5</v>
      </c>
      <c r="D1" s="2" t="s">
        <v>2</v>
      </c>
      <c r="E1" s="2" t="s">
        <v>0</v>
      </c>
    </row>
    <row r="2" spans="1:9" x14ac:dyDescent="0.35">
      <c r="A2" s="5" t="s">
        <v>3</v>
      </c>
      <c r="B2" s="3" t="s">
        <v>6</v>
      </c>
      <c r="C2" s="1" t="b">
        <f ca="1">I10</f>
        <v>0</v>
      </c>
      <c r="D2" s="1">
        <f ca="1">IF(C2,B2,0)</f>
        <v>0</v>
      </c>
      <c r="E2" s="8" cm="1">
        <f t="array" aca="1" ref="E2" ca="1">SUMPRODUCT(MID("0"&amp;D2,ROW(INDIRECT("1:"&amp;LEN("0"&amp;D2))),1)*2^(LEN("0"&amp;D2)-ROW(INDIRECT("1:"&amp;LEN("0"&amp;D2)))))</f>
        <v>0</v>
      </c>
    </row>
    <row r="3" spans="1:9" x14ac:dyDescent="0.35">
      <c r="A3" s="10" t="s">
        <v>4</v>
      </c>
      <c r="B3" s="3" t="s">
        <v>7</v>
      </c>
      <c r="C3" s="1" t="b" cm="1">
        <f t="array" aca="1" ref="C3" ca="1">AND(ISNUMBER(--(MID(B3,ROW(INDIRECT("1:"&amp;LEN(B3))),1))))</f>
        <v>1</v>
      </c>
      <c r="D3" s="1" t="str">
        <f ca="1">IF(C3,B3,0)</f>
        <v>1100</v>
      </c>
      <c r="E3" s="3" t="str">
        <f ca="1">DEC2BIN(MOD(QUOTIENT($D$3,256^4),256),8)&amp;DEC2BIN(MOD(QUOTIENT($D$3,256^3),256),8)&amp;DEC2BIN(MOD(QUOTIENT($D$3,256^2),256),8)&amp;DEC2BIN(MOD(QUOTIENT($D$3,256^1),256),8)&amp;DEC2BIN(MOD(QUOTIENT($D$3,256^0),256),8)</f>
        <v>0000000000000000000000000000010001001100</v>
      </c>
    </row>
    <row r="4" spans="1:9" x14ac:dyDescent="0.35">
      <c r="A4" s="10"/>
      <c r="B4" s="9"/>
      <c r="C4" s="9"/>
      <c r="D4" s="9"/>
      <c r="E4" s="4" t="str" cm="1">
        <f t="array" aca="1" ref="E4" ca="1">RIGHT(E3,LEN(E3)-(MIN(FIND({1},E3)))+1)</f>
        <v>10001001100</v>
      </c>
    </row>
    <row r="7" spans="1:9" x14ac:dyDescent="0.35">
      <c r="A7">
        <v>9.9999999999999898E+18</v>
      </c>
    </row>
    <row r="8" spans="1:9" s="6" customFormat="1" hidden="1" x14ac:dyDescent="0.35"/>
    <row r="9" spans="1:9" s="6" customFormat="1" hidden="1" x14ac:dyDescent="0.35"/>
    <row r="10" spans="1:9" s="6" customFormat="1" hidden="1" x14ac:dyDescent="0.35">
      <c r="D10" s="7" cm="1">
        <f t="array" ref="D10">FIND({2},B2)</f>
        <v>2</v>
      </c>
      <c r="E10" s="7">
        <f>IF(ISNUMBER(D10),1,0)</f>
        <v>1</v>
      </c>
      <c r="F10" s="7" t="b">
        <f>IF(SUM(E10:E17)&gt;0,TRUE,FALSE)</f>
        <v>1</v>
      </c>
      <c r="G10" s="7" t="e" cm="1">
        <f t="array" aca="1" ref="G10" ca="1">MATCH(1,ISERROR(VALUE(MID(B2,ROW(INDIRECT("1:"&amp;LEN(B2))),1)))*1,0)</f>
        <v>#N/A</v>
      </c>
      <c r="H10" s="7" t="b">
        <f ca="1">IF(ISNUMBER(G10),FALSE,TRUE)</f>
        <v>1</v>
      </c>
      <c r="I10" s="7" t="b">
        <f ca="1">IF(AND(F10=FALSE, H10=TRUE),TRUE,FALSE)</f>
        <v>0</v>
      </c>
    </row>
    <row r="11" spans="1:9" s="6" customFormat="1" hidden="1" x14ac:dyDescent="0.35">
      <c r="D11" s="7" t="e" cm="1">
        <f t="array" ref="D11">FIND({3},B2)</f>
        <v>#VALUE!</v>
      </c>
      <c r="E11" s="7">
        <f t="shared" ref="E11:E17" si="0">IF(ISNUMBER(D11),1,0)</f>
        <v>0</v>
      </c>
      <c r="F11" s="7"/>
      <c r="G11" s="7"/>
      <c r="H11" s="7"/>
      <c r="I11" s="7"/>
    </row>
    <row r="12" spans="1:9" s="6" customFormat="1" hidden="1" x14ac:dyDescent="0.35">
      <c r="D12" s="7" t="e" cm="1">
        <f t="array" ref="D12">FIND({4},B2)</f>
        <v>#VALUE!</v>
      </c>
      <c r="E12" s="7">
        <f t="shared" si="0"/>
        <v>0</v>
      </c>
      <c r="F12" s="7"/>
      <c r="G12" s="7"/>
      <c r="H12" s="7"/>
      <c r="I12" s="7"/>
    </row>
    <row r="13" spans="1:9" s="6" customFormat="1" hidden="1" x14ac:dyDescent="0.35">
      <c r="D13" s="7" t="e" cm="1">
        <f t="array" ref="D13">FIND({5},B2)</f>
        <v>#VALUE!</v>
      </c>
      <c r="E13" s="7">
        <f t="shared" si="0"/>
        <v>0</v>
      </c>
      <c r="F13" s="7"/>
      <c r="G13" s="7"/>
      <c r="H13" s="7"/>
      <c r="I13" s="7"/>
    </row>
    <row r="14" spans="1:9" s="6" customFormat="1" hidden="1" x14ac:dyDescent="0.35">
      <c r="D14" s="7" t="e" cm="1">
        <f t="array" ref="D14">FIND({6},B2)</f>
        <v>#VALUE!</v>
      </c>
      <c r="E14" s="7">
        <f t="shared" si="0"/>
        <v>0</v>
      </c>
      <c r="F14" s="7"/>
      <c r="G14" s="7"/>
      <c r="H14" s="7"/>
      <c r="I14" s="7"/>
    </row>
    <row r="15" spans="1:9" s="6" customFormat="1" hidden="1" x14ac:dyDescent="0.35">
      <c r="D15" s="7" t="e" cm="1">
        <f t="array" ref="D15">FIND({7},B2)</f>
        <v>#VALUE!</v>
      </c>
      <c r="E15" s="7">
        <f t="shared" si="0"/>
        <v>0</v>
      </c>
      <c r="F15" s="7"/>
      <c r="G15" s="7"/>
      <c r="H15" s="7"/>
      <c r="I15" s="7"/>
    </row>
    <row r="16" spans="1:9" s="6" customFormat="1" hidden="1" x14ac:dyDescent="0.35">
      <c r="D16" s="7" t="e" cm="1">
        <f t="array" ref="D16">FIND({8},B2)</f>
        <v>#VALUE!</v>
      </c>
      <c r="E16" s="7">
        <f t="shared" si="0"/>
        <v>0</v>
      </c>
      <c r="F16" s="7"/>
      <c r="G16" s="7"/>
      <c r="H16" s="7"/>
      <c r="I16" s="7"/>
    </row>
    <row r="17" spans="4:9" s="6" customFormat="1" hidden="1" x14ac:dyDescent="0.35">
      <c r="D17" s="7" t="e" cm="1">
        <f t="array" ref="D17">FIND({9},B2)</f>
        <v>#VALUE!</v>
      </c>
      <c r="E17" s="7">
        <f t="shared" si="0"/>
        <v>0</v>
      </c>
      <c r="F17" s="7"/>
      <c r="G17" s="7"/>
      <c r="H17" s="7"/>
      <c r="I17" s="7"/>
    </row>
    <row r="18" spans="4:9" s="6" customFormat="1" hidden="1" x14ac:dyDescent="0.35"/>
    <row r="19" spans="4:9" s="6" customFormat="1" hidden="1" x14ac:dyDescent="0.35"/>
  </sheetData>
  <mergeCells count="2">
    <mergeCell ref="B4:D4"/>
    <mergeCell ref="A3:A4"/>
  </mergeCells>
  <pageMargins left="0.7" right="0.7" top="0.75" bottom="0.75" header="0.3" footer="0.3"/>
  <pageSetup paperSize="9" scale="8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גיליון1</vt:lpstr>
      <vt:lpstr>גיליון1!Print_Area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nitay</dc:creator>
  <cp:lastModifiedBy>Ofri Seroussi</cp:lastModifiedBy>
  <dcterms:created xsi:type="dcterms:W3CDTF">2022-10-27T14:59:47Z</dcterms:created>
  <dcterms:modified xsi:type="dcterms:W3CDTF">2022-11-06T15:46:29Z</dcterms:modified>
</cp:coreProperties>
</file>